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</sheets>
  <definedNames>
    <definedName function="false" hidden="false" localSheetId="0" name="_xlnm.Print_Area" vbProcedure="false">Calculadora!$A$1:$E$61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<sst xmlns="http://schemas.openxmlformats.org/spreadsheetml/2006/main" count="70" uniqueCount="70">
  <si>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Calculadora de 1 produto · Natal Sem Prejuízo</t>
  </si>
  <si>
    <t xml:space="preserve">Amostra grátis. Preencha o amarelo com a SUA receita e os SEUS custos: o cinza calcula sozinho. No fim aparecem o preço mínimo (empata), o preço sugerido e um alerta se o preço que você cobra dá prejuízo.</t>
  </si>
  <si>
    <t xml:space="preserve">EXEMPLO — troque pelos seus preços. Todos os números desta versão são ilustrativos (não são preços de mercado nem receitas testadas).</t>
  </si>
  <si>
    <t xml:space="preserve">1. O PRODUTO</t>
  </si>
  <si>
    <t xml:space="preserve">Nome do produto</t>
  </si>
  <si>
    <t xml:space="preserve">Panetone recheado 500 g</t>
  </si>
  <si>
    <t xml:space="preserve">Rendimento: quantas unidades a receita faz</t>
  </si>
  <si>
    <t xml:space="preserve">Horas de trabalho da receita toda</t>
  </si>
  <si>
    <t xml:space="preserve">preparo, decorar e embalar · 1h30 = 1,5</t>
  </si>
  <si>
    <t xml:space="preserve">Horas de forno da receita toda</t>
  </si>
  <si>
    <t xml:space="preserve">2. INGREDIENTES DA RECEITA TODA (use g, ml ou unidade, igual na compra e no uso)</t>
  </si>
  <si>
    <t xml:space="preserve">Ingrediente</t>
  </si>
  <si>
    <t xml:space="preserve">Quanto vem na embalagem</t>
  </si>
  <si>
    <t xml:space="preserve">Preço pago (R$)</t>
  </si>
  <si>
    <t xml:space="preserve">Quanto usa na receita</t>
  </si>
  <si>
    <t xml:space="preserve">Custo na receita (auto)</t>
  </si>
  <si>
    <t xml:space="preserve">Farinha de trigo</t>
  </si>
  <si>
    <t xml:space="preserve">Açúcar refinado</t>
  </si>
  <si>
    <t xml:space="preserve">Manteiga sem sal</t>
  </si>
  <si>
    <t xml:space="preserve">Ovos (unidade)</t>
  </si>
  <si>
    <t xml:space="preserve">Leite integral</t>
  </si>
  <si>
    <t xml:space="preserve">Fermento biológico seco</t>
  </si>
  <si>
    <t xml:space="preserve">Essência de panetone</t>
  </si>
  <si>
    <t xml:space="preserve">Sal</t>
  </si>
  <si>
    <t xml:space="preserve">Leite condensado</t>
  </si>
  <si>
    <t xml:space="preserve">Creme de leite</t>
  </si>
  <si>
    <t xml:space="preserve">Chocolate ao leite (barra)</t>
  </si>
  <si>
    <t xml:space="preserve">Total dos ingredientes da receita</t>
  </si>
  <si>
    <t xml:space="preserve">3. EMBALAGEM E EXTRAS (para 1 unidade do produto)</t>
  </si>
  <si>
    <t xml:space="preserve">Item</t>
  </si>
  <si>
    <t xml:space="preserve">Unidades no pacote</t>
  </si>
  <si>
    <t xml:space="preserve">Preço do pacote (R$)</t>
  </si>
  <si>
    <t xml:space="preserve">Quantas vão em 1 unidade</t>
  </si>
  <si>
    <t xml:space="preserve">Custo por unidade (auto)</t>
  </si>
  <si>
    <t xml:space="preserve">Forma de papel 500 g</t>
  </si>
  <si>
    <t xml:space="preserve">Saco celofane</t>
  </si>
  <si>
    <t xml:space="preserve">Fita de cetim (laços)</t>
  </si>
  <si>
    <t xml:space="preserve">Tag impressa</t>
  </si>
  <si>
    <t xml:space="preserve">Total de embalagem por unidade</t>
  </si>
  <si>
    <t xml:space="preserve">4. SEUS NÚMEROS (digite % com o símbolo: 5%)</t>
  </si>
  <si>
    <t xml:space="preserve">Valor da sua hora de trabalho (R$)</t>
  </si>
  <si>
    <t xml:space="preserve">o que você quer ganhar no mês ÷ horas trabalhadas</t>
  </si>
  <si>
    <t xml:space="preserve">Custo do forno por hora (R$)</t>
  </si>
  <si>
    <t xml:space="preserve">gás: preço do botijão ÷ horas que ele dura</t>
  </si>
  <si>
    <t xml:space="preserve">Contas do mês por hora de trabalho (R$) · opcional</t>
  </si>
  <si>
    <t xml:space="preserve">luz, internet, MEI... ÷ horas no mês</t>
  </si>
  <si>
    <t xml:space="preserve">Perda / quebra de ingredientes (%)</t>
  </si>
  <si>
    <t xml:space="preserve">Taxa de cartão para embutir no preço (%)</t>
  </si>
  <si>
    <t xml:space="preserve">só Pix? deixe 0%</t>
  </si>
  <si>
    <t xml:space="preserve">Margem de lucro desejada (%)</t>
  </si>
  <si>
    <t xml:space="preserve">lucro DEPOIS de pagar sua hora</t>
  </si>
  <si>
    <t xml:space="preserve">5. RESULTADO POR UNIDADE</t>
  </si>
  <si>
    <t xml:space="preserve">Ingredientes (com a perda)</t>
  </si>
  <si>
    <t xml:space="preserve">Embalagem e extras</t>
  </si>
  <si>
    <t xml:space="preserve">Forno (gás ou energia)</t>
  </si>
  <si>
    <t xml:space="preserve">Sua mão de obra</t>
  </si>
  <si>
    <t xml:space="preserve">Contas do mês</t>
  </si>
  <si>
    <t xml:space="preserve">CUSTO TOTAL POR UNIDADE</t>
  </si>
  <si>
    <t xml:space="preserve">PREÇO MÍNIMO (só empata)</t>
  </si>
  <si>
    <t xml:space="preserve">abaixo disso, você paga para trabalhar</t>
  </si>
  <si>
    <t xml:space="preserve">PREÇO SUGERIDO (com a sua margem)</t>
  </si>
  <si>
    <t xml:space="preserve">arredondado para cima em R$ 0,50</t>
  </si>
  <si>
    <t xml:space="preserve">MEU PREÇO (o que eu cobro hoje)</t>
  </si>
  <si>
    <t xml:space="preserve">digite e veja o alerta abaixo</t>
  </si>
  <si>
    <t xml:space="preserve">Lucro por unidade no MEU PREÇO</t>
  </si>
  <si>
    <t xml:space="preserve">Margem real</t>
  </si>
  <si>
    <t xml:space="preserve">SITUAÇÃO</t>
  </si>
  <si>
    <t xml:space="preserve">Isto é 1 produto. O kit completo Natal Sem Prejuízo calcula até 15 produtos e ainda organiza as encomendas (sinal, saldo, status), soma a lista de compras, mostra a produção por dia e o resumo do Natal. R$ 27,90, compra única.</t>
  </si>
  <si>
    <t xml:space="preserve">Toque aqui para conhecer o kit completo</t>
  </si>
  <si>
    <t xml:space="preserve">Amostra grátis: pode compartilhar. Dúvidas: joaovictor+P004@rglogistica.com.br. Dúvidas de MEI/impostos: fale com um contador.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</si>
</sst>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"/>
    <numFmt numFmtId="167" formatCode="&quot;R$ &quot;#,##0.00"/>
    <numFmt numFmtId="168" formatCode="0.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3262A"/>
      <name val="Arial"/>
      <family val="0"/>
      <charset val="1"/>
    </font>
    <font>
      <b val="true"/>
      <sz val="10"/>
      <color rgb="FF1F5C4A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A326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A3262A"/>
        <bgColor rgb="FF993366"/>
      </patternFill>
    </fill>
    <fill>
      <patternFill patternType="solid">
        <fgColor rgb="FFFFF8EC"/>
        <bgColor rgb="FFFFFFFF"/>
      </patternFill>
    </fill>
    <fill>
      <patternFill patternType="solid">
        <fgColor rgb="FFFDE2E1"/>
        <bgColor rgb="FFEDEDED"/>
      </patternFill>
    </fill>
    <fill>
      <patternFill patternType="solid">
        <fgColor rgb="FFDCEBE4"/>
        <bgColor rgb="FFD9EAD3"/>
      </patternFill>
    </fill>
    <fill>
      <patternFill patternType="solid">
        <fgColor rgb="FFFFF2CC"/>
        <bgColor rgb="FFFFF8EC"/>
      </patternFill>
    </fill>
    <fill>
      <patternFill patternType="solid">
        <fgColor rgb="FF1F5C4A"/>
        <bgColor rgb="FF006100"/>
      </patternFill>
    </fill>
    <fill>
      <patternFill patternType="solid">
        <fgColor rgb="FFEDEDED"/>
        <bgColor rgb="FFDCEBE4"/>
      </patternFill>
    </fill>
    <fill>
      <patternFill patternType="solid">
        <fgColor rgb="FFD9EAD3"/>
        <bgColor rgb="FFDCEB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8B0000"/>
      </font>
      <fill>
        <patternFill>
          <bgColor rgb="FFF4B6B6"/>
        </patternFill>
      </fill>
    </dxf>
    <dxf>
      <font>
        <b val="1"/>
        <color rgb="FF7A4F00"/>
      </font>
      <fill>
        <patternFill>
          <bgColor rgb="FFFFE08A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A4F00"/>
      <rgbColor rgb="FF800080"/>
      <rgbColor rgb="FF008080"/>
      <rgbColor rgb="FFBFBFBF"/>
      <rgbColor rgb="FF808080"/>
      <rgbColor rgb="FF9999FF"/>
      <rgbColor rgb="FF993366"/>
      <rgbColor rgb="FFFFF2CC"/>
      <rgbColor rgb="FFDCEBE4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8EC"/>
      <rgbColor rgb="FFFDE2E1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5C4A"/>
      <rgbColor rgb="FF339966"/>
      <rgbColor rgb="FF003300"/>
      <rgbColor rgb="FF333300"/>
      <rgbColor rgb="FFA326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aovictor-ops.github.io/natal-sem-prejuizo/?utm_source=facebook&amp;utm_medium=organico&amp;utm_campaign=p004_lancamento&amp;utm_content=p004_amostra_fbgrupos_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5.5" hidden="false" customHeight="tru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6" customFormat="false" ht="19.5" hidden="false" customHeight="true" outlineLevel="0" collapsed="false">
      <c r="A6" s="4" t="s">
        <v>3</v>
      </c>
      <c r="B6" s="4"/>
      <c r="C6" s="4"/>
      <c r="D6" s="4"/>
      <c r="E6" s="4"/>
    </row>
    <row r="7" customFormat="false" ht="25.5" hidden="false" customHeight="true" outlineLevel="0" collapsed="false">
      <c r="A7" s="5" t="s">
        <v>4</v>
      </c>
      <c r="B7" s="6" t="s">
        <v>5</v>
      </c>
      <c r="C7" s="7"/>
      <c r="D7" s="7"/>
      <c r="E7" s="7"/>
    </row>
    <row r="8" customFormat="false" ht="25.5" hidden="false" customHeight="true" outlineLevel="0" collapsed="false">
      <c r="A8" s="5" t="s">
        <v>6</v>
      </c>
      <c r="B8" s="8" t="n">
        <v>6</v>
      </c>
      <c r="C8" s="7"/>
      <c r="D8" s="7"/>
      <c r="E8" s="7"/>
    </row>
    <row r="9" customFormat="false" ht="25.5" hidden="false" customHeight="true" outlineLevel="0" collapsed="false">
      <c r="A9" s="5" t="s">
        <v>7</v>
      </c>
      <c r="B9" s="9" t="n">
        <v>4</v>
      </c>
      <c r="C9" s="7" t="s">
        <v>8</v>
      </c>
      <c r="D9" s="7"/>
      <c r="E9" s="7"/>
    </row>
    <row r="10" customFormat="false" ht="25.5" hidden="false" customHeight="true" outlineLevel="0" collapsed="false">
      <c r="A10" s="5" t="s">
        <v>9</v>
      </c>
      <c r="B10" s="9" t="n">
        <v>1</v>
      </c>
      <c r="C10" s="7"/>
      <c r="D10" s="7"/>
      <c r="E10" s="7"/>
    </row>
    <row r="12" customFormat="false" ht="19.5" hidden="false" customHeight="true" outlineLevel="0" collapsed="false">
      <c r="A12" s="4" t="s">
        <v>10</v>
      </c>
      <c r="B12" s="4"/>
      <c r="C12" s="4"/>
      <c r="D12" s="4"/>
      <c r="E12" s="4"/>
    </row>
    <row r="13" customFormat="false" ht="31.5" hidden="false" customHeight="tru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</row>
    <row r="14" customFormat="false" ht="15" hidden="false" customHeight="false" outlineLevel="0" collapsed="false">
      <c r="A14" s="6" t="s">
        <v>16</v>
      </c>
      <c r="B14" s="8" t="n">
        <v>1000</v>
      </c>
      <c r="C14" s="11" t="n">
        <v>6.5</v>
      </c>
      <c r="D14" s="8" t="n">
        <v>1500</v>
      </c>
      <c r="E14" s="12" t="n">
        <f aca="false">IF(OR(N(B14)&lt;=0,C14="",N(D14)=0),"",N(C14)/N(B14)*N(D14))</f>
        <v>9.75</v>
      </c>
    </row>
    <row r="15" customFormat="false" ht="15" hidden="false" customHeight="false" outlineLevel="0" collapsed="false">
      <c r="A15" s="6" t="s">
        <v>17</v>
      </c>
      <c r="B15" s="8" t="n">
        <v>1000</v>
      </c>
      <c r="C15" s="11" t="n">
        <v>5.2</v>
      </c>
      <c r="D15" s="8" t="n">
        <v>300</v>
      </c>
      <c r="E15" s="12" t="n">
        <f aca="false">IF(OR(N(B15)&lt;=0,C15="",N(D15)=0),"",N(C15)/N(B15)*N(D15))</f>
        <v>1.56</v>
      </c>
    </row>
    <row r="16" customFormat="false" ht="15" hidden="false" customHeight="false" outlineLevel="0" collapsed="false">
      <c r="A16" s="6" t="s">
        <v>18</v>
      </c>
      <c r="B16" s="8" t="n">
        <v>200</v>
      </c>
      <c r="C16" s="11" t="n">
        <v>11.9</v>
      </c>
      <c r="D16" s="8" t="n">
        <v>300</v>
      </c>
      <c r="E16" s="12" t="n">
        <f aca="false">IF(OR(N(B16)&lt;=0,C16="",N(D16)=0),"",N(C16)/N(B16)*N(D16))</f>
        <v>17.85</v>
      </c>
    </row>
    <row r="17" customFormat="false" ht="15" hidden="false" customHeight="false" outlineLevel="0" collapsed="false">
      <c r="A17" s="6" t="s">
        <v>19</v>
      </c>
      <c r="B17" s="8" t="n">
        <v>30</v>
      </c>
      <c r="C17" s="11" t="n">
        <v>24</v>
      </c>
      <c r="D17" s="8" t="n">
        <v>9</v>
      </c>
      <c r="E17" s="12" t="n">
        <f aca="false">IF(OR(N(B17)&lt;=0,C17="",N(D17)=0),"",N(C17)/N(B17)*N(D17))</f>
        <v>7.2</v>
      </c>
    </row>
    <row r="18" customFormat="false" ht="15" hidden="false" customHeight="false" outlineLevel="0" collapsed="false">
      <c r="A18" s="6" t="s">
        <v>20</v>
      </c>
      <c r="B18" s="8" t="n">
        <v>1000</v>
      </c>
      <c r="C18" s="11" t="n">
        <v>5.8</v>
      </c>
      <c r="D18" s="8" t="n">
        <v>300</v>
      </c>
      <c r="E18" s="12" t="n">
        <f aca="false">IF(OR(N(B18)&lt;=0,C18="",N(D18)=0),"",N(C18)/N(B18)*N(D18))</f>
        <v>1.74</v>
      </c>
    </row>
    <row r="19" customFormat="false" ht="15" hidden="false" customHeight="false" outlineLevel="0" collapsed="false">
      <c r="A19" s="6" t="s">
        <v>21</v>
      </c>
      <c r="B19" s="8" t="n">
        <v>125</v>
      </c>
      <c r="C19" s="11" t="n">
        <v>9.5</v>
      </c>
      <c r="D19" s="8" t="n">
        <v>30</v>
      </c>
      <c r="E19" s="12" t="n">
        <f aca="false">IF(OR(N(B19)&lt;=0,C19="",N(D19)=0),"",N(C19)/N(B19)*N(D19))</f>
        <v>2.28</v>
      </c>
    </row>
    <row r="20" customFormat="false" ht="15" hidden="false" customHeight="false" outlineLevel="0" collapsed="false">
      <c r="A20" s="6" t="s">
        <v>22</v>
      </c>
      <c r="B20" s="8" t="n">
        <v>30</v>
      </c>
      <c r="C20" s="11" t="n">
        <v>8.9</v>
      </c>
      <c r="D20" s="8" t="n">
        <v>10</v>
      </c>
      <c r="E20" s="12" t="n">
        <f aca="false">IF(OR(N(B20)&lt;=0,C20="",N(D20)=0),"",N(C20)/N(B20)*N(D20))</f>
        <v>2.96666666666667</v>
      </c>
    </row>
    <row r="21" customFormat="false" ht="15" hidden="false" customHeight="false" outlineLevel="0" collapsed="false">
      <c r="A21" s="6" t="s">
        <v>23</v>
      </c>
      <c r="B21" s="8" t="n">
        <v>1000</v>
      </c>
      <c r="C21" s="11" t="n">
        <v>3.2</v>
      </c>
      <c r="D21" s="8" t="n">
        <v>10</v>
      </c>
      <c r="E21" s="12" t="n">
        <f aca="false">IF(OR(N(B21)&lt;=0,C21="",N(D21)=0),"",N(C21)/N(B21)*N(D21))</f>
        <v>0.032</v>
      </c>
    </row>
    <row r="22" customFormat="false" ht="15" hidden="false" customHeight="false" outlineLevel="0" collapsed="false">
      <c r="A22" s="6" t="s">
        <v>24</v>
      </c>
      <c r="B22" s="8" t="n">
        <v>395</v>
      </c>
      <c r="C22" s="11" t="n">
        <v>7.9</v>
      </c>
      <c r="D22" s="8" t="n">
        <v>790</v>
      </c>
      <c r="E22" s="12" t="n">
        <f aca="false">IF(OR(N(B22)&lt;=0,C22="",N(D22)=0),"",N(C22)/N(B22)*N(D22))</f>
        <v>15.8</v>
      </c>
    </row>
    <row r="23" customFormat="false" ht="15" hidden="false" customHeight="false" outlineLevel="0" collapsed="false">
      <c r="A23" s="6" t="s">
        <v>25</v>
      </c>
      <c r="B23" s="8" t="n">
        <v>200</v>
      </c>
      <c r="C23" s="11" t="n">
        <v>4.2</v>
      </c>
      <c r="D23" s="8" t="n">
        <v>200</v>
      </c>
      <c r="E23" s="12" t="n">
        <f aca="false">IF(OR(N(B23)&lt;=0,C23="",N(D23)=0),"",N(C23)/N(B23)*N(D23))</f>
        <v>4.2</v>
      </c>
    </row>
    <row r="24" customFormat="false" ht="15" hidden="false" customHeight="false" outlineLevel="0" collapsed="false">
      <c r="A24" s="6" t="s">
        <v>26</v>
      </c>
      <c r="B24" s="8" t="n">
        <v>1000</v>
      </c>
      <c r="C24" s="11" t="n">
        <v>49.9</v>
      </c>
      <c r="D24" s="8" t="n">
        <v>150</v>
      </c>
      <c r="E24" s="12" t="n">
        <f aca="false">IF(OR(N(B24)&lt;=0,C24="",N(D24)=0),"",N(C24)/N(B24)*N(D24))</f>
        <v>7.485</v>
      </c>
    </row>
    <row r="25" customFormat="false" ht="15" hidden="false" customHeight="false" outlineLevel="0" collapsed="false">
      <c r="A25" s="6"/>
      <c r="B25" s="8"/>
      <c r="C25" s="11"/>
      <c r="D25" s="8"/>
      <c r="E25" s="12" t="str">
        <f aca="false">IF(OR(N(B25)&lt;=0,C25="",N(D25)=0),"",N(C25)/N(B25)*N(D25))</f>
        <v/>
      </c>
    </row>
    <row r="26" customFormat="false" ht="15" hidden="false" customHeight="false" outlineLevel="0" collapsed="false">
      <c r="A26" s="13" t="s">
        <v>27</v>
      </c>
      <c r="E26" s="14" t="n">
        <f aca="false">SUM(E14:E25)</f>
        <v>70.8636666666667</v>
      </c>
    </row>
    <row r="28" customFormat="false" ht="19.5" hidden="false" customHeight="true" outlineLevel="0" collapsed="false">
      <c r="A28" s="4" t="s">
        <v>28</v>
      </c>
      <c r="B28" s="4"/>
      <c r="C28" s="4"/>
      <c r="D28" s="4"/>
      <c r="E28" s="4"/>
    </row>
    <row r="29" customFormat="false" ht="31.5" hidden="false" customHeight="true" outlineLevel="0" collapsed="false">
      <c r="A29" s="10" t="s">
        <v>29</v>
      </c>
      <c r="B29" s="10" t="s">
        <v>30</v>
      </c>
      <c r="C29" s="10" t="s">
        <v>31</v>
      </c>
      <c r="D29" s="10" t="s">
        <v>32</v>
      </c>
      <c r="E29" s="10" t="s">
        <v>33</v>
      </c>
    </row>
    <row r="30" customFormat="false" ht="15" hidden="false" customHeight="false" outlineLevel="0" collapsed="false">
      <c r="A30" s="6" t="s">
        <v>34</v>
      </c>
      <c r="B30" s="8" t="n">
        <v>10</v>
      </c>
      <c r="C30" s="11" t="n">
        <v>14.9</v>
      </c>
      <c r="D30" s="8" t="n">
        <v>1</v>
      </c>
      <c r="E30" s="12" t="n">
        <f aca="false">IF(OR(N(B30)&lt;=0,C30="",N(D30)=0),"",N(C30)/N(B30)*N(D30))</f>
        <v>1.49</v>
      </c>
    </row>
    <row r="31" customFormat="false" ht="15" hidden="false" customHeight="false" outlineLevel="0" collapsed="false">
      <c r="A31" s="6" t="s">
        <v>35</v>
      </c>
      <c r="B31" s="8" t="n">
        <v>50</v>
      </c>
      <c r="C31" s="11" t="n">
        <v>16.9</v>
      </c>
      <c r="D31" s="8" t="n">
        <v>1</v>
      </c>
      <c r="E31" s="12" t="n">
        <f aca="false">IF(OR(N(B31)&lt;=0,C31="",N(D31)=0),"",N(C31)/N(B31)*N(D31))</f>
        <v>0.338</v>
      </c>
    </row>
    <row r="32" customFormat="false" ht="15" hidden="false" customHeight="false" outlineLevel="0" collapsed="false">
      <c r="A32" s="6" t="s">
        <v>36</v>
      </c>
      <c r="B32" s="8" t="n">
        <v>25</v>
      </c>
      <c r="C32" s="11" t="n">
        <v>7.9</v>
      </c>
      <c r="D32" s="8" t="n">
        <v>1</v>
      </c>
      <c r="E32" s="12" t="n">
        <f aca="false">IF(OR(N(B32)&lt;=0,C32="",N(D32)=0),"",N(C32)/N(B32)*N(D32))</f>
        <v>0.316</v>
      </c>
    </row>
    <row r="33" customFormat="false" ht="15" hidden="false" customHeight="false" outlineLevel="0" collapsed="false">
      <c r="A33" s="6" t="s">
        <v>37</v>
      </c>
      <c r="B33" s="8" t="n">
        <v>12</v>
      </c>
      <c r="C33" s="11" t="n">
        <v>2.5</v>
      </c>
      <c r="D33" s="8" t="n">
        <v>1</v>
      </c>
      <c r="E33" s="12" t="n">
        <f aca="false">IF(OR(N(B33)&lt;=0,C33="",N(D33)=0),"",N(C33)/N(B33)*N(D33))</f>
        <v>0.208333333333333</v>
      </c>
    </row>
    <row r="34" customFormat="false" ht="15" hidden="false" customHeight="false" outlineLevel="0" collapsed="false">
      <c r="A34" s="13" t="s">
        <v>38</v>
      </c>
      <c r="E34" s="14" t="n">
        <f aca="false">SUM(E30:E33)</f>
        <v>2.35233333333333</v>
      </c>
    </row>
    <row r="36" customFormat="false" ht="19.5" hidden="false" customHeight="true" outlineLevel="0" collapsed="false">
      <c r="A36" s="4" t="s">
        <v>39</v>
      </c>
      <c r="B36" s="4"/>
      <c r="C36" s="4"/>
      <c r="D36" s="4"/>
      <c r="E36" s="4"/>
    </row>
    <row r="37" customFormat="false" ht="25.5" hidden="false" customHeight="true" outlineLevel="0" collapsed="false">
      <c r="A37" s="5" t="s">
        <v>40</v>
      </c>
      <c r="B37" s="11" t="n">
        <v>20</v>
      </c>
      <c r="C37" s="7" t="s">
        <v>41</v>
      </c>
      <c r="D37" s="7"/>
      <c r="E37" s="7"/>
    </row>
    <row r="38" customFormat="false" ht="25.5" hidden="false" customHeight="true" outlineLevel="0" collapsed="false">
      <c r="A38" s="5" t="s">
        <v>42</v>
      </c>
      <c r="B38" s="11" t="n">
        <v>3</v>
      </c>
      <c r="C38" s="7" t="s">
        <v>43</v>
      </c>
      <c r="D38" s="7"/>
      <c r="E38" s="7"/>
    </row>
    <row r="39" customFormat="false" ht="25.5" hidden="false" customHeight="true" outlineLevel="0" collapsed="false">
      <c r="A39" s="5" t="s">
        <v>44</v>
      </c>
      <c r="B39" s="11" t="n">
        <v>3.8</v>
      </c>
      <c r="C39" s="7" t="s">
        <v>45</v>
      </c>
      <c r="D39" s="7"/>
      <c r="E39" s="7"/>
    </row>
    <row r="40" customFormat="false" ht="25.5" hidden="false" customHeight="true" outlineLevel="0" collapsed="false">
      <c r="A40" s="5" t="s">
        <v>46</v>
      </c>
      <c r="B40" s="15" t="n">
        <v>0.05</v>
      </c>
      <c r="C40" s="7"/>
      <c r="D40" s="7"/>
      <c r="E40" s="7"/>
    </row>
    <row r="41" customFormat="false" ht="25.5" hidden="false" customHeight="true" outlineLevel="0" collapsed="false">
      <c r="A41" s="5" t="s">
        <v>47</v>
      </c>
      <c r="B41" s="15" t="n">
        <v>0.03</v>
      </c>
      <c r="C41" s="7" t="s">
        <v>48</v>
      </c>
      <c r="D41" s="7"/>
      <c r="E41" s="7"/>
    </row>
    <row r="42" customFormat="false" ht="25.5" hidden="false" customHeight="true" outlineLevel="0" collapsed="false">
      <c r="A42" s="5" t="s">
        <v>49</v>
      </c>
      <c r="B42" s="15" t="n">
        <v>0.25</v>
      </c>
      <c r="C42" s="7" t="s">
        <v>50</v>
      </c>
      <c r="D42" s="7"/>
      <c r="E42" s="7"/>
    </row>
    <row r="44" customFormat="false" ht="19.5" hidden="false" customHeight="true" outlineLevel="0" collapsed="false">
      <c r="A44" s="4" t="s">
        <v>51</v>
      </c>
      <c r="B44" s="4"/>
      <c r="C44" s="4"/>
      <c r="D44" s="4"/>
      <c r="E44" s="4"/>
    </row>
    <row r="45" customFormat="false" ht="15" hidden="false" customHeight="false" outlineLevel="0" collapsed="false">
      <c r="A45" s="16" t="s">
        <v>52</v>
      </c>
      <c r="B45" s="12" t="n">
        <f aca="false">IF(N(B8)&gt;0,E26/N(B8)*(1+IF(N(B40)&gt;1,N(B40)/100,N(B40))),0)</f>
        <v>12.4011416666667</v>
      </c>
    </row>
    <row r="46" customFormat="false" ht="15" hidden="false" customHeight="false" outlineLevel="0" collapsed="false">
      <c r="A46" s="16" t="s">
        <v>53</v>
      </c>
      <c r="B46" s="12" t="n">
        <f aca="false">N(E34)</f>
        <v>2.35233333333333</v>
      </c>
    </row>
    <row r="47" customFormat="false" ht="15" hidden="false" customHeight="false" outlineLevel="0" collapsed="false">
      <c r="A47" s="16" t="s">
        <v>54</v>
      </c>
      <c r="B47" s="12" t="n">
        <f aca="false">IF(N(B8)&gt;0,N(B10)*N(B38)/N(B8),0)</f>
        <v>0.5</v>
      </c>
    </row>
    <row r="48" customFormat="false" ht="15" hidden="false" customHeight="false" outlineLevel="0" collapsed="false">
      <c r="A48" s="16" t="s">
        <v>55</v>
      </c>
      <c r="B48" s="12" t="n">
        <f aca="false">IF(N(B8)&gt;0,N(B9)*N(B37)/N(B8),0)</f>
        <v>13.3333333333333</v>
      </c>
    </row>
    <row r="49" customFormat="false" ht="15" hidden="false" customHeight="false" outlineLevel="0" collapsed="false">
      <c r="A49" s="16" t="s">
        <v>56</v>
      </c>
      <c r="B49" s="12" t="n">
        <f aca="false">IF(N(B8)&gt;0,N(B9)*N(B39)/N(B8),0)</f>
        <v>2.53333333333333</v>
      </c>
    </row>
    <row r="50" customFormat="false" ht="15" hidden="false" customHeight="false" outlineLevel="0" collapsed="false">
      <c r="A50" s="13" t="s">
        <v>57</v>
      </c>
      <c r="B50" s="14" t="n">
        <f aca="false">SUM(B45:B49)</f>
        <v>31.1201416666667</v>
      </c>
    </row>
    <row r="51" customFormat="false" ht="15" hidden="false" customHeight="false" outlineLevel="0" collapsed="false">
      <c r="A51" s="13" t="s">
        <v>58</v>
      </c>
      <c r="B51" s="17" t="n">
        <f aca="false">IF(IF(N(B41)&gt;1,N(B41)/100,N(B41))&gt;=0.9,"confira a taxa",ROUND(B50/(1-IF(N(B41)&gt;1,N(B41)/100,N(B41))),2))</f>
        <v>32.08</v>
      </c>
      <c r="C51" s="18" t="s">
        <v>59</v>
      </c>
      <c r="D51" s="18"/>
      <c r="E51" s="18"/>
    </row>
    <row r="52" customFormat="false" ht="15" hidden="false" customHeight="false" outlineLevel="0" collapsed="false">
      <c r="A52" s="13" t="s">
        <v>60</v>
      </c>
      <c r="B52" s="14" t="n">
        <f aca="false">IF(IF(N(B41)&gt;1,N(B41)/100,N(B41))+IF(N(B42)&gt;1,N(B42)/100,N(B42))&gt;=0.9,"margem alta demais",ROUNDUP(B50/(1-IF(N(B41)&gt;1,N(B41)/100,N(B41))-IF(N(B42)&gt;1,N(B42)/100,N(B42)))*2,0)/2)</f>
        <v>43.5</v>
      </c>
      <c r="C52" s="18" t="s">
        <v>61</v>
      </c>
      <c r="D52" s="18"/>
      <c r="E52" s="18"/>
    </row>
    <row r="53" customFormat="false" ht="15" hidden="false" customHeight="false" outlineLevel="0" collapsed="false">
      <c r="A53" s="13" t="s">
        <v>62</v>
      </c>
      <c r="B53" s="19" t="n">
        <v>45</v>
      </c>
      <c r="C53" s="18" t="s">
        <v>63</v>
      </c>
      <c r="D53" s="18"/>
      <c r="E53" s="18"/>
    </row>
    <row r="54" customFormat="false" ht="15" hidden="false" customHeight="false" outlineLevel="0" collapsed="false">
      <c r="A54" s="16" t="s">
        <v>64</v>
      </c>
      <c r="B54" s="12" t="n">
        <f aca="false">IF(N(B53)&lt;=0,"",ROUND(N(B53)*(1-IF(N(B41)&gt;1,N(B41)/100,N(B41)))-B50,2))</f>
        <v>12.53</v>
      </c>
    </row>
    <row r="55" customFormat="false" ht="15" hidden="false" customHeight="false" outlineLevel="0" collapsed="false">
      <c r="A55" s="16" t="s">
        <v>65</v>
      </c>
      <c r="B55" s="20" t="n">
        <f aca="false">IF(OR(B54="",N(B53)&lt;=0),"",B54/N(B53))</f>
        <v>0.278444444444444</v>
      </c>
    </row>
    <row r="56" customFormat="false" ht="25.5" hidden="false" customHeight="true" outlineLevel="0" collapsed="false">
      <c r="A56" s="21" t="s">
        <v>66</v>
      </c>
      <c r="B56" s="22" t="str">
        <f aca="false">IF(N(B50)&lt;=0,"preencha a receita",IF(B54="","digite MEU PREÇO",IF(B54&lt;0,"VENDENDO NO PREJUÍZO",IF(B55&lt;IF(N(B42)&gt;1,N(B42)/100,N(B42))-0.0005,"margem baixa","OK"))))</f>
        <v>OK</v>
      </c>
      <c r="C56" s="22"/>
      <c r="D56" s="22"/>
      <c r="E56" s="22"/>
    </row>
    <row r="58" customFormat="false" ht="30" hidden="false" customHeight="true" outlineLevel="0" collapsed="false">
      <c r="A58" s="23" t="s">
        <v>67</v>
      </c>
      <c r="B58" s="23"/>
      <c r="C58" s="23"/>
      <c r="D58" s="23"/>
      <c r="E58" s="23"/>
    </row>
    <row r="59" customFormat="false" ht="30" hidden="false" customHeight="true" outlineLevel="0" collapsed="false">
      <c r="A59" s="23"/>
      <c r="B59" s="23"/>
      <c r="C59" s="23"/>
      <c r="D59" s="23"/>
      <c r="E59" s="23"/>
    </row>
    <row r="60" customFormat="false" ht="24" hidden="false" customHeight="true" outlineLevel="0" collapsed="false">
      <c r="A60" s="24" t="s">
        <v>68</v>
      </c>
      <c r="B60" s="24"/>
      <c r="C60" s="24"/>
      <c r="D60" s="24"/>
      <c r="E60" s="24"/>
    </row>
    <row r="61" customFormat="false" ht="15" hidden="false" customHeight="false" outlineLevel="0" collapsed="false">
      <c r="A61" s="25" t="s">
        <v>69</v>
      </c>
    </row>
  </sheetData>
  <mergeCells count="24">
    <mergeCell ref="A1:E1"/>
    <mergeCell ref="A2:E3"/>
    <mergeCell ref="A4:E4"/>
    <mergeCell ref="A6:E6"/>
    <mergeCell ref="C7:E7"/>
    <mergeCell ref="C8:E8"/>
    <mergeCell ref="C9:E9"/>
    <mergeCell ref="C10:E10"/>
    <mergeCell ref="A12:E12"/>
    <mergeCell ref="A28:E28"/>
    <mergeCell ref="A36:E36"/>
    <mergeCell ref="C37:E37"/>
    <mergeCell ref="C38:E38"/>
    <mergeCell ref="C39:E39"/>
    <mergeCell ref="C40:E40"/>
    <mergeCell ref="C41:E41"/>
    <mergeCell ref="C42:E42"/>
    <mergeCell ref="A44:E44"/>
    <mergeCell ref="C51:E51"/>
    <mergeCell ref="C52:E52"/>
    <mergeCell ref="C53:E53"/>
    <mergeCell ref="B56:E56"/>
    <mergeCell ref="A58:E59"/>
    <mergeCell ref="A60:E60"/>
  </mergeCells>
  <conditionalFormatting sqref="B56:E56">
    <cfRule type="expression" priority="2" aboveAverage="0" equalAverage="0" bottom="0" percent="0" rank="0" text="" dxfId="0">
      <formula>$B$56="VENDENDO NO PREJUÍZO"</formula>
    </cfRule>
    <cfRule type="expression" priority="3" aboveAverage="0" equalAverage="0" bottom="0" percent="0" rank="0" text="" dxfId="1">
      <formula>$B$56="margem baixa"</formula>
    </cfRule>
    <cfRule type="expression" priority="4" aboveAverage="0" equalAverage="0" bottom="0" percent="0" rank="0" text="" dxfId="2">
      <formula>$B$56="OK"</formula>
    </cfRule>
  </conditionalFormatting>
  <hyperlinks>
    <hyperlink ref="A60" r:id="rId1" display="Toque aqui para conhecer o kit comple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2026-10-23T03:36:28Z</dcterms:created>
  <dc:creator>Natal Sem Prejuízo</dc:creator>
  <dc:description/>
  <dc:language>en-US</dc:language>
  <cp:lastModifiedBy/>
  <dcterms:modified xsi:type="dcterms:W3CDTF">2026-10-23T03:36:28Z</dcterms:modified>
  <cp:revision>0</cp:revision>
  <dc:subject/>
  <dc:title>Calculadora de 1 produto · Natal Sem Prejuízo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